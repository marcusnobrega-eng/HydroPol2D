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user1\Documents\GitHub\HydroPol2D\Input_Data_Sheets\"/>
    </mc:Choice>
  </mc:AlternateContent>
  <xr:revisionPtr revIDLastSave="0" documentId="13_ncr:1_{C13388D2-89FE-43C3-B55D-C3F4CBF2AE63}" xr6:coauthVersionLast="46" xr6:coauthVersionMax="46" xr10:uidLastSave="{00000000-0000-0000-0000-000000000000}"/>
  <bookViews>
    <workbookView xWindow="-120" yWindow="-120" windowWidth="29040" windowHeight="15720" xr2:uid="{00000000-000D-0000-FFFF-FFFF00000000}"/>
  </bookViews>
  <sheets>
    <sheet name="Vertedores_Dados" sheetId="1" r:id="rId1"/>
  </sheets>
  <definedNames>
    <definedName name="solver_adj" localSheetId="0" hidden="1">#REF!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#REF!</definedName>
    <definedName name="solver_lhs2" localSheetId="0" hidden="1">#REF!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Vertedores_Dados!#REF!</definedName>
    <definedName name="solver_pre" localSheetId="0" hidden="1">0.000001</definedName>
    <definedName name="solver_rbv" localSheetId="0" hidden="1">2</definedName>
    <definedName name="solver_rel1" localSheetId="0" hidden="1">3</definedName>
    <definedName name="solver_rel2" localSheetId="0" hidden="1">3</definedName>
    <definedName name="solver_rhs1" localSheetId="0" hidden="1">0.44</definedName>
    <definedName name="solver_rhs2" localSheetId="0" hidden="1">0.44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I4" i="1" l="1"/>
  <c r="D4" i="1"/>
</calcChain>
</file>

<file path=xl/sharedStrings.xml><?xml version="1.0" encoding="utf-8"?>
<sst xmlns="http://schemas.openxmlformats.org/spreadsheetml/2006/main" count="16" uniqueCount="16">
  <si>
    <t>HydroPol2D - Control Flood Paramaters</t>
  </si>
  <si>
    <t>Flow control reference</t>
  </si>
  <si>
    <t>Inlet structure Conditions</t>
  </si>
  <si>
    <t>Index</t>
  </si>
  <si>
    <t>x(m)</t>
  </si>
  <si>
    <t>y(m)</t>
  </si>
  <si>
    <t>Qref(m3)</t>
  </si>
  <si>
    <r>
      <rPr>
        <sz val="12"/>
        <color theme="1"/>
        <rFont val="Garamond"/>
        <family val="1"/>
      </rPr>
      <t>x</t>
    </r>
    <r>
      <rPr>
        <vertAlign val="subscript"/>
        <sz val="12"/>
        <color theme="1"/>
        <rFont val="Garamond"/>
        <family val="1"/>
      </rPr>
      <t>u</t>
    </r>
    <r>
      <rPr>
        <vertAlign val="superscript"/>
        <sz val="12"/>
        <color theme="1"/>
        <rFont val="Garamond"/>
        <family val="1"/>
      </rPr>
      <t>1</t>
    </r>
    <r>
      <rPr>
        <sz val="12"/>
        <color theme="1"/>
        <rFont val="Garamond"/>
        <family val="1"/>
      </rPr>
      <t>(m)</t>
    </r>
  </si>
  <si>
    <r>
      <rPr>
        <sz val="12"/>
        <color theme="1"/>
        <rFont val="Garamond"/>
        <family val="1"/>
      </rPr>
      <t>y</t>
    </r>
    <r>
      <rPr>
        <vertAlign val="subscript"/>
        <sz val="12"/>
        <color theme="1"/>
        <rFont val="Garamond"/>
        <family val="1"/>
      </rPr>
      <t>u</t>
    </r>
    <r>
      <rPr>
        <vertAlign val="superscript"/>
        <sz val="12"/>
        <color theme="1"/>
        <rFont val="Garamond"/>
        <family val="1"/>
      </rPr>
      <t>1</t>
    </r>
    <r>
      <rPr>
        <sz val="12"/>
        <color theme="1"/>
        <rFont val="Garamond"/>
        <family val="1"/>
      </rPr>
      <t>(m)</t>
    </r>
  </si>
  <si>
    <t>Depth_limit(m)</t>
  </si>
  <si>
    <t>AR1 culv</t>
  </si>
  <si>
    <t>Base culv</t>
  </si>
  <si>
    <t>k1culv</t>
  </si>
  <si>
    <t>k2culv</t>
  </si>
  <si>
    <t>Open max</t>
  </si>
  <si>
    <t>Open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</si>
</sst>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"/>
  </numFmts>
  <fonts count="8" x14ac:knownFonts="1">
    <font>
      <sz val="11"/>
      <color theme="1"/>
      <name val="Calibri"/>
      <scheme val="minor"/>
    </font>
    <font>
      <sz val="12"/>
      <color theme="1"/>
      <name val="Garamond"/>
      <family val="1"/>
    </font>
    <font>
      <b/>
      <sz val="18"/>
      <color indexed="2"/>
      <name val="Garamond"/>
      <family val="1"/>
    </font>
    <font>
      <b/>
      <sz val="11"/>
      <name val="Garamond"/>
      <family val="1"/>
    </font>
    <font>
      <sz val="11"/>
      <color theme="1"/>
      <name val="Garamond"/>
      <family val="1"/>
    </font>
    <font>
      <sz val="11"/>
      <color theme="1"/>
      <name val="Calibri"/>
      <family val="2"/>
      <scheme val="minor"/>
    </font>
    <font>
      <vertAlign val="subscript"/>
      <sz val="12"/>
      <color theme="1"/>
      <name val="Garamond"/>
      <family val="1"/>
    </font>
    <font>
      <vertAlign val="superscript"/>
      <sz val="12"/>
      <color theme="1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theme="0" tint="-4.9989318521683403E-2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3">
    <xf numFmtId="0" fontId="0" fillId="0" borderId="0"/>
    <xf numFmtId="44" fontId="5" fillId="0" borderId="0" applyFont="0" applyFill="0" applyBorder="0" applyProtection="0"/>
    <xf numFmtId="0" fontId="5" fillId="0" borderId="0"/>
  </cellStyleXfs>
  <cellXfs count="18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0" fontId="3" fillId="2" borderId="1" xfId="0" applyFont="1" applyFill="1" applyBorder="1"/>
    <xf numFmtId="0" fontId="4" fillId="2" borderId="0" xfId="0" applyFont="1" applyFill="1" applyAlignment="1">
      <alignment horizontal="center" vertical="center"/>
    </xf>
    <xf numFmtId="0" fontId="1" fillId="2" borderId="0" xfId="2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 vertical="center"/>
    </xf>
  </cellXfs>
  <cellStyles count="3">
    <cellStyle name="Moeda 2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2</xdr:row>
      <xdr:rowOff>179065</xdr:rowOff>
    </xdr:from>
    <xdr:ext cx="1950723" cy="2628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SpPr txBox="1"/>
          </xdr:nvSpPr>
          <xdr:spPr bwMode="auto">
            <a:xfrm>
              <a:off x="11058524" y="731516"/>
              <a:ext cx="1950723" cy="262827"/>
            </a:xfrm>
            <a:prstGeom prst="rect">
              <a:avLst/>
            </a:prstGeom>
            <a:noFill/>
          </xdr:spPr>
          <xdr:style>
            <a:lnRef idx="0">
              <a:srgbClr val="000000"/>
            </a:lnRef>
            <a:fillRef idx="0">
              <a:srgbClr val="000000"/>
            </a:fillRef>
            <a:effectRef idx="0">
              <a:srgbClr val="00000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>
                <a:defRPr/>
              </a:pPr>
              <mc:AlternateContent>
                <mc:Choice Requires="a14">
                  <a14:m>
                    <m:oMathPara xmlns:m="http://schemas.openxmlformats.org/officeDocument/2006/math">
                      <m:oMathParaPr>
                        <m:jc m:val="centerGroup"/>
                      </m:oMathParaPr>
                      <m:oMath xmlns:m="http://schemas.openxmlformats.org/officeDocument/2006/math">
                        <m:r>
                          <a:rPr lang="en-US" sz="1100" b="0" i="1">
                            <a:latin typeface="Cambria Math"/>
                          </a:rPr>
                          <m:t>𝑄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/>
                              </a:rPr>
                              <m:t>h</m:t>
                            </m:r>
                          </m:e>
                        </m:d>
                        <m:r>
                          <a:rPr lang="en-US" sz="1100" b="0" i="1">
                            <a:latin typeface="Cambria Math"/>
                          </a:rPr>
                          <m:t>=</m:t>
                        </m:r>
                        <m:r>
                          <a:rPr lang="en-US" sz="1100" b="0" i="1">
                            <a:latin typeface="Cambria Math"/>
                          </a:rPr>
                          <m:t>𝐶𝑑</m:t>
                        </m:r>
                        <m:r>
                          <a:rPr lang="en-US" sz="1100" b="0" i="1">
                            <a:latin typeface="Cambria Math"/>
                          </a:rPr>
                          <m:t>.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/>
                              </a:rPr>
                              <m:t>𝐿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/>
                              </a:rPr>
                              <m:t>𝑒𝑓</m:t>
                            </m:r>
                          </m:sub>
                        </m:sSub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unc>
                                  <m:func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uncPr>
                                  <m:fName>
                                    <m:r>
                                      <m:rPr>
                                        <m:sty m:val="p"/>
                                      </m:rPr>
                                      <a:rPr lang="en-US" sz="1100" b="0" i="0">
                                        <a:latin typeface="Cambria Math"/>
                                      </a:rPr>
                                      <m:t>max</m:t>
                                    </m:r>
                                  </m:fName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US" sz="1100" b="0" i="1">
                                            <a:latin typeface="Cambria Math"/>
                                          </a:rPr>
                                          <m:t>h</m:t>
                                        </m:r>
                                        <m:r>
                                          <a:rPr lang="en-US" sz="1100" b="0" i="1">
                                            <a:latin typeface="Cambria Math"/>
                                          </a:rPr>
                                          <m:t>−</m:t>
                                        </m:r>
                                        <m:r>
                                          <a:rPr lang="en-US" sz="1100" b="0" i="1">
                                            <a:latin typeface="Cambria Math"/>
                                          </a:rPr>
                                          <m:t>𝑝</m:t>
                                        </m:r>
                                        <m:r>
                                          <a:rPr lang="en-US" sz="1100" b="0" i="1">
                                            <a:latin typeface="Cambria Math"/>
                                          </a:rPr>
                                          <m:t>,0</m:t>
                                        </m:r>
                                      </m:e>
                                    </m:d>
                                  </m:e>
                                </m:func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/>
                                  </a:rPr>
                                  <m:t>3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/>
                                  </a:rPr>
                                  <m:t>2</m:t>
                                </m:r>
                              </m:den>
                            </m:f>
                          </m:sup>
                        </m:sSup>
                      </m:oMath>
                    </m:oMathPara>
                  </a14:m>
                </mc:Choice>
                <mc:Fallback xmlns="" xmlns:r="http://schemas.openxmlformats.org/officeDocument/2006/relationships" xmlns:w="http://schemas.openxmlformats.org/wordprocessingml/2006/main" xmlns:m="http://schemas.openxmlformats.org/officeDocument/2006/math"/>
              </mc:AlternateContent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SpPr txBox="1"/>
          </xdr:nvSpPr>
          <xdr:spPr bwMode="auto">
            <a:xfrm>
              <a:off x="11058524" y="731516"/>
              <a:ext cx="1950723" cy="262827"/>
            </a:xfrm>
            <a:prstGeom prst="rect">
              <a:avLst/>
            </a:prstGeom>
            <a:noFill/>
          </xdr:spPr>
          <xdr:style>
            <a:lnRef idx="0">
              <a:srgbClr val="000000"/>
            </a:lnRef>
            <a:fillRef idx="0">
              <a:srgbClr val="000000"/>
            </a:fillRef>
            <a:effectRef idx="0">
              <a:srgbClr val="00000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>
                <a:defRPr/>
              </a:pPr>
              <a:r>
                <a:rPr lang="en-US" sz="1100" b="0" i="0">
                  <a:latin typeface="Cambria Math"/>
                </a:rPr>
                <a:t>𝑄</a:t>
              </a:r>
              <a:r>
                <a:rPr lang="en-US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/>
                </a:rPr>
                <a:t>ℎ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/>
                </a:rPr>
                <a:t>=𝐶𝑑.𝐿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/>
                </a:rPr>
                <a:t>𝑒𝑓</a:t>
              </a:r>
              <a:r>
                <a:rPr lang="en-US" sz="1100" b="0" i="0">
                  <a:latin typeface="Cambria Math" panose="02040503050406030204" pitchFamily="18" charset="0"/>
                </a:rPr>
                <a:t> (</a:t>
              </a:r>
              <a:r>
                <a:rPr lang="en-US" sz="1100" b="0" i="0">
                  <a:latin typeface="Cambria Math"/>
                </a:rPr>
                <a:t>max</a:t>
              </a:r>
              <a:r>
                <a:rPr lang="en-US" sz="1100" b="0" i="0">
                  <a:latin typeface="Cambria Math" panose="02040503050406030204" pitchFamily="18" charset="0"/>
                </a:rPr>
                <a:t>⁡(</a:t>
              </a:r>
              <a:r>
                <a:rPr lang="en-US" sz="1100" b="0" i="0">
                  <a:latin typeface="Cambria Math"/>
                </a:rPr>
                <a:t>ℎ−𝑝,0</a:t>
              </a:r>
              <a:r>
                <a:rPr lang="en-US" sz="1100" b="0" i="0">
                  <a:latin typeface="Cambria Math" panose="02040503050406030204" pitchFamily="18" charset="0"/>
                </a:rPr>
                <a:t>) )^(</a:t>
              </a:r>
              <a:r>
                <a:rPr lang="en-US" sz="1100" b="0" i="0">
                  <a:latin typeface="Cambria Math"/>
                </a:rPr>
                <a:t>3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0</xdr:colOff>
      <xdr:row>4</xdr:row>
      <xdr:rowOff>87625</xdr:rowOff>
    </xdr:from>
    <xdr:ext cx="775336" cy="1722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SpPr txBox="1"/>
          </xdr:nvSpPr>
          <xdr:spPr bwMode="auto">
            <a:xfrm>
              <a:off x="11058524" y="1059176"/>
              <a:ext cx="775336" cy="172224"/>
            </a:xfrm>
            <a:prstGeom prst="rect">
              <a:avLst/>
            </a:prstGeom>
            <a:noFill/>
          </xdr:spPr>
          <xdr:style>
            <a:lnRef idx="0">
              <a:srgbClr val="000000"/>
            </a:lnRef>
            <a:fillRef idx="0">
              <a:srgbClr val="000000"/>
            </a:fillRef>
            <a:effectRef idx="0">
              <a:srgbClr val="00000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>
                <a:defRPr/>
              </a:pPr>
              <mc:AlternateContent>
                <mc:Choice Requires="a14">
                  <a14:m>
                    <m:oMathPara xmlns:m="http://schemas.openxmlformats.org/officeDocument/2006/math">
                      <m:oMathParaPr>
                        <m:jc m:val="centerGroup"/>
                      </m:oMathParaPr>
                      <m:oMath xmlns:m="http://schemas.openxmlformats.org/officeDocument/2006/math">
                        <m:r>
                          <a:rPr lang="en-US" sz="1100" b="0" i="1">
                            <a:latin typeface="Cambria Math"/>
                          </a:rPr>
                          <m:t>𝑝</m:t>
                        </m:r>
                        <m:r>
                          <a:rPr lang="en-US" sz="1100" b="0" i="1">
                            <a:latin typeface="Cambria Math"/>
                          </a:rPr>
                          <m:t>=</m:t>
                        </m:r>
                        <m:r>
                          <a:rPr lang="en-US" sz="1100" b="0" i="1">
                            <a:latin typeface="Cambria Math"/>
                          </a:rPr>
                          <m:t>𝑒𝑙</m:t>
                        </m:r>
                        <m:r>
                          <a:rPr lang="en-US" sz="1100" b="0" i="1">
                            <a:latin typeface="Cambria Math"/>
                          </a:rPr>
                          <m:t> 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/>
                              </a:rPr>
                              <m:t>𝐻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/>
                              </a:rPr>
                              <m:t>𝑣</m:t>
                            </m:r>
                          </m:sub>
                        </m:sSub>
                      </m:oMath>
                    </m:oMathPara>
                  </a14:m>
                </mc:Choice>
                <mc:Fallback xmlns="" xmlns:r="http://schemas.openxmlformats.org/officeDocument/2006/relationships" xmlns:w="http://schemas.openxmlformats.org/wordprocessingml/2006/main" xmlns:m="http://schemas.openxmlformats.org/officeDocument/2006/math"/>
              </mc:AlternateContent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SpPr txBox="1"/>
          </xdr:nvSpPr>
          <xdr:spPr bwMode="auto">
            <a:xfrm>
              <a:off x="11058524" y="1059176"/>
              <a:ext cx="775336" cy="172224"/>
            </a:xfrm>
            <a:prstGeom prst="rect">
              <a:avLst/>
            </a:prstGeom>
            <a:noFill/>
          </xdr:spPr>
          <xdr:style>
            <a:lnRef idx="0">
              <a:srgbClr val="000000"/>
            </a:lnRef>
            <a:fillRef idx="0">
              <a:srgbClr val="000000"/>
            </a:fillRef>
            <a:effectRef idx="0">
              <a:srgbClr val="00000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>
                <a:defRPr/>
              </a:pPr>
              <a:r>
                <a:rPr lang="en-US" sz="1100" b="0" i="0">
                  <a:latin typeface="Cambria Math"/>
                </a:rPr>
                <a:t>𝑝=𝑒𝑙 −𝐻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/>
                </a:rPr>
                <a:t>𝑣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0</xdr:colOff>
      <xdr:row>6</xdr:row>
      <xdr:rowOff>0</xdr:rowOff>
    </xdr:from>
    <xdr:ext cx="2329095" cy="1722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 txBox="1"/>
          </xdr:nvSpPr>
          <xdr:spPr bwMode="auto">
            <a:xfrm>
              <a:off x="11058524" y="1352549"/>
              <a:ext cx="2329095" cy="172224"/>
            </a:xfrm>
            <a:prstGeom prst="rect">
              <a:avLst/>
            </a:prstGeom>
            <a:noFill/>
          </xdr:spPr>
          <xdr:style>
            <a:lnRef idx="0">
              <a:srgbClr val="000000"/>
            </a:lnRef>
            <a:fillRef idx="0">
              <a:srgbClr val="000000"/>
            </a:fillRef>
            <a:effectRef idx="0">
              <a:srgbClr val="00000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>
                <a:defRPr/>
              </a:pPr>
              <mc:AlternateContent>
                <mc:Choice Requires="a14">
                  <a14:m>
                    <m:oMathPara xmlns:m="http://schemas.openxmlformats.org/officeDocument/2006/math">
                      <m:oMathParaPr>
                        <m:jc m:val="centerGroup"/>
                      </m:oMathParaPr>
                      <m:oMath xmlns:m="http://schemas.openxmlformats.org/officeDocument/2006/math">
                        <m:r>
                          <a:rPr lang="en-US" sz="1100" b="0" i="1">
                            <a:latin typeface="Cambria Math"/>
                          </a:rPr>
                          <m:t>1=</m:t>
                        </m:r>
                        <m:r>
                          <a:rPr lang="en-US" sz="1100" b="0" i="1">
                            <a:latin typeface="Cambria Math"/>
                          </a:rPr>
                          <m:t>𝑙𝑒𝑓𝑡</m:t>
                        </m:r>
                        <m:r>
                          <a:rPr lang="en-US" sz="1100" b="0" i="1">
                            <a:latin typeface="Cambria Math"/>
                          </a:rPr>
                          <m:t>,2=</m:t>
                        </m:r>
                        <m:r>
                          <a:rPr lang="en-US" sz="1100" b="0" i="1">
                            <a:latin typeface="Cambria Math"/>
                          </a:rPr>
                          <m:t>𝑟𝑖𝑔h𝑡</m:t>
                        </m:r>
                        <m:r>
                          <a:rPr lang="en-US" sz="1100" b="0" i="1">
                            <a:latin typeface="Cambria Math"/>
                          </a:rPr>
                          <m:t>, 3=</m:t>
                        </m:r>
                        <m:r>
                          <a:rPr lang="en-US" sz="1100" b="0" i="1">
                            <a:latin typeface="Cambria Math"/>
                          </a:rPr>
                          <m:t>𝑢𝑝</m:t>
                        </m:r>
                        <m:r>
                          <a:rPr lang="en-US" sz="1100" b="0" i="1">
                            <a:latin typeface="Cambria Math"/>
                          </a:rPr>
                          <m:t>, 4=</m:t>
                        </m:r>
                        <m:r>
                          <a:rPr lang="en-US" sz="1100" b="0" i="1">
                            <a:latin typeface="Cambria Math"/>
                          </a:rPr>
                          <m:t>𝑑𝑜𝑤𝑛</m:t>
                        </m:r>
                      </m:oMath>
                    </m:oMathPara>
                  </a14:m>
                </mc:Choice>
                <mc:Fallback xmlns="" xmlns:r="http://schemas.openxmlformats.org/officeDocument/2006/relationships" xmlns:w="http://schemas.openxmlformats.org/wordprocessingml/2006/main" xmlns:m="http://schemas.openxmlformats.org/officeDocument/2006/math"/>
              </mc:AlternateContent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 txBox="1"/>
          </xdr:nvSpPr>
          <xdr:spPr bwMode="auto">
            <a:xfrm>
              <a:off x="11058524" y="1352549"/>
              <a:ext cx="2329095" cy="172224"/>
            </a:xfrm>
            <a:prstGeom prst="rect">
              <a:avLst/>
            </a:prstGeom>
            <a:noFill/>
          </xdr:spPr>
          <xdr:style>
            <a:lnRef idx="0">
              <a:srgbClr val="000000"/>
            </a:lnRef>
            <a:fillRef idx="0">
              <a:srgbClr val="000000"/>
            </a:fillRef>
            <a:effectRef idx="0">
              <a:srgbClr val="00000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>
                <a:defRPr/>
              </a:pPr>
              <a:r>
                <a:rPr lang="en-US" sz="1100" b="0" i="0">
                  <a:latin typeface="Cambria Math"/>
                </a:rPr>
                <a:t>1=𝑙𝑒𝑓𝑡,2=𝑟𝑖𝑔ℎ𝑡, 3=𝑢𝑝, 4=𝑑𝑜𝑤𝑛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9"/>
  <sheetViews>
    <sheetView tabSelected="1" zoomScale="130" workbookViewId="0">
      <selection activeCell="L3" sqref="L3"/>
    </sheetView>
  </sheetViews>
  <sheetFormatPr defaultColWidth="8.85546875" defaultRowHeight="15.75" x14ac:dyDescent="0.25"/>
  <cols>
    <col min="1" max="1" width="8.85546875" style="1"/>
    <col min="2" max="2" width="21" style="1" customWidth="1"/>
    <col min="3" max="13" width="17" style="1" customWidth="1"/>
    <col min="14" max="16384" width="8.85546875" style="1"/>
  </cols>
  <sheetData>
    <row r="1" spans="1:13" ht="23.25" x14ac:dyDescent="0.3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3.25" x14ac:dyDescent="0.35">
      <c r="A2" s="2"/>
      <c r="B2" s="13" t="s">
        <v>1</v>
      </c>
      <c r="C2" s="13"/>
      <c r="D2" s="13"/>
      <c r="E2" s="14" t="s">
        <v>2</v>
      </c>
      <c r="F2" s="14"/>
      <c r="G2" s="14"/>
      <c r="H2" s="14"/>
      <c r="I2" s="14"/>
      <c r="J2" s="15"/>
      <c r="K2" s="15"/>
      <c r="L2" s="15"/>
      <c r="M2" s="3"/>
    </row>
    <row r="3" spans="1:13" ht="18" customHeight="1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14</v>
      </c>
      <c r="H3" s="4" t="s">
        <v>15</v>
      </c>
      <c r="I3" s="4" t="s">
        <v>9</v>
      </c>
      <c r="J3" s="16" t="s">
        <v>11</v>
      </c>
      <c r="K3" s="16" t="s">
        <v>12</v>
      </c>
      <c r="L3" s="16" t="s">
        <v>13</v>
      </c>
      <c r="M3" s="5"/>
    </row>
    <row r="4" spans="1:13" x14ac:dyDescent="0.25">
      <c r="A4" s="6">
        <v>1</v>
      </c>
      <c r="B4" s="6">
        <v>-5167227.0128199998</v>
      </c>
      <c r="C4" s="6">
        <v>-2703864.4370800001</v>
      </c>
      <c r="D4" s="6">
        <f>0.059*1.5</f>
        <v>8.8499999999999995E-2</v>
      </c>
      <c r="E4" s="6">
        <v>-5167173.9950000001</v>
      </c>
      <c r="F4" s="6">
        <v>-2703950.2990000001</v>
      </c>
      <c r="G4" s="6">
        <v>1.8</v>
      </c>
      <c r="H4" s="6">
        <v>0</v>
      </c>
      <c r="I4" s="6">
        <f>ROUND((3.24+(790.374-790.264))*0.9,2)</f>
        <v>3.02</v>
      </c>
      <c r="J4" s="6">
        <v>1.2</v>
      </c>
      <c r="K4" s="6">
        <v>1.82</v>
      </c>
      <c r="L4" s="6">
        <v>1.1000000000000001</v>
      </c>
      <c r="M4" s="6" t="s">
        <v>10</v>
      </c>
    </row>
    <row r="5" spans="1:13" x14ac:dyDescent="0.25">
      <c r="A5" s="6">
        <v>2</v>
      </c>
      <c r="B5" s="6"/>
      <c r="C5" s="6"/>
      <c r="D5" s="6"/>
      <c r="E5" s="6"/>
      <c r="F5" s="6"/>
      <c r="G5" s="7"/>
      <c r="H5" s="6"/>
      <c r="I5" s="6"/>
      <c r="J5" s="6"/>
      <c r="K5" s="6"/>
      <c r="L5" s="6"/>
      <c r="M5" s="6"/>
    </row>
    <row r="6" spans="1:13" x14ac:dyDescent="0.25">
      <c r="A6" s="6"/>
      <c r="B6" s="6"/>
      <c r="C6" s="6"/>
      <c r="D6" s="6"/>
      <c r="F6" s="6"/>
      <c r="G6" s="6"/>
      <c r="H6" s="6"/>
      <c r="I6" s="6"/>
      <c r="J6" s="6"/>
      <c r="K6" s="6"/>
      <c r="L6" s="6"/>
      <c r="M6" s="6"/>
    </row>
    <row r="7" spans="1:13" x14ac:dyDescent="0.25">
      <c r="A7" s="6"/>
      <c r="B7" s="6"/>
      <c r="C7" s="13"/>
      <c r="D7" s="13"/>
      <c r="E7" s="13"/>
      <c r="F7" s="6"/>
      <c r="G7" s="6"/>
      <c r="H7" s="6"/>
      <c r="I7" s="6"/>
      <c r="J7" s="6"/>
      <c r="K7" s="6"/>
      <c r="L7" s="6"/>
      <c r="M7" s="6"/>
    </row>
    <row r="8" spans="1:13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3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spans="1:13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spans="1:13" x14ac:dyDescent="0.25">
      <c r="A11" s="6"/>
      <c r="B11" s="6"/>
      <c r="C11" s="6"/>
      <c r="D11" s="8"/>
      <c r="E11" s="6"/>
      <c r="F11" s="6"/>
      <c r="G11" s="6"/>
      <c r="H11" s="9"/>
      <c r="I11" s="6"/>
      <c r="J11" s="6"/>
      <c r="K11" s="6"/>
      <c r="L11" s="6"/>
      <c r="M11" s="6"/>
    </row>
    <row r="12" spans="1:13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spans="1:13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spans="1:13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spans="1:13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spans="1:13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spans="1:13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spans="1:13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spans="1:13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spans="1:13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1:13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spans="1:13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spans="1:13" x14ac:dyDescent="0.25">
      <c r="A23" s="10"/>
      <c r="B23" s="10"/>
      <c r="C23" s="10"/>
      <c r="D23" s="10"/>
      <c r="E23" s="10"/>
      <c r="F23" s="10"/>
      <c r="G23" s="11"/>
      <c r="H23" s="11"/>
      <c r="I23" s="11"/>
      <c r="J23" s="17"/>
      <c r="K23" s="17"/>
      <c r="L23" s="17"/>
      <c r="M23" s="6"/>
    </row>
    <row r="24" spans="1:13" x14ac:dyDescent="0.25">
      <c r="A24" s="6"/>
      <c r="B24" s="10"/>
      <c r="C24" s="10"/>
      <c r="D24" s="6"/>
      <c r="E24" s="6"/>
      <c r="F24" s="6"/>
    </row>
    <row r="25" spans="1:13" x14ac:dyDescent="0.25">
      <c r="A25" s="6"/>
      <c r="B25" s="10"/>
      <c r="C25" s="10"/>
      <c r="D25" s="12"/>
      <c r="E25" s="6"/>
      <c r="F25" s="6"/>
    </row>
    <row r="26" spans="1:13" x14ac:dyDescent="0.25">
      <c r="A26" s="6"/>
      <c r="B26" s="10"/>
      <c r="C26" s="10"/>
      <c r="D26" s="6"/>
      <c r="E26" s="6"/>
      <c r="F26" s="6"/>
    </row>
    <row r="27" spans="1:13" x14ac:dyDescent="0.25">
      <c r="A27" s="6"/>
      <c r="B27" s="10"/>
      <c r="C27" s="10"/>
      <c r="D27" s="6"/>
      <c r="E27" s="6"/>
      <c r="F27" s="6"/>
    </row>
    <row r="28" spans="1:13" x14ac:dyDescent="0.25">
      <c r="A28" s="6"/>
      <c r="B28" s="10"/>
      <c r="C28" s="10"/>
      <c r="D28" s="6"/>
      <c r="E28" s="6"/>
      <c r="F28" s="6"/>
    </row>
    <row r="29" spans="1:13" x14ac:dyDescent="0.25">
      <c r="A29" s="6"/>
      <c r="B29" s="6"/>
      <c r="C29" s="6"/>
      <c r="D29" s="6"/>
      <c r="E29" s="6"/>
      <c r="F29" s="6"/>
    </row>
  </sheetData>
  <mergeCells count="3">
    <mergeCell ref="B2:D2"/>
    <mergeCell ref="E2:I2"/>
    <mergeCell ref="C7:E7"/>
  </mergeCells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Vertedores_Dados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Marcus</dc:creator>
  <cp:lastModifiedBy>user1</cp:lastModifiedBy>
  <cp:revision>36</cp:revision>
  <dcterms:created xsi:type="dcterms:W3CDTF">2023-07-18T19:27:59Z</dcterms:created>
  <dcterms:modified xsi:type="dcterms:W3CDTF">2025-02-03T17:31:39Z</dcterms:modified>
</cp:coreProperties>
</file>