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mngomes/Documents/Pune/HydroPol2D/Input_Data_Sheets/"/>
    </mc:Choice>
  </mc:AlternateContent>
  <xr:revisionPtr revIDLastSave="0" documentId="13_ncr:1_{2625F404-FEA6-BD49-BD67-49026C7D7187}" xr6:coauthVersionLast="47" xr6:coauthVersionMax="47" xr10:uidLastSave="{00000000-0000-0000-0000-000000000000}"/>
  <bookViews>
    <workbookView xWindow="0" yWindow="660" windowWidth="29040" windowHeight="15720" xr2:uid="{00000000-000D-0000-FFFF-FFFF00000000}"/>
  </bookViews>
  <sheets>
    <sheet name="SOIL_paramet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H15" i="1"/>
  <c r="H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Marcus Gomes</author>
  </authors>
  <commentList>
    <comment ref="C2" authorId="0" shapeId="0" xr:uid="{3965E51E-7E4B-1A4B-88D1-9B071D907210}">
      <text>
        <r>
          <rPr>
            <b/>
            <sz val="10"/>
            <color rgb="FF000000"/>
            <rFont val="Tahoma"/>
            <family val="2"/>
          </rPr>
          <t>Marcus Gomes: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Saturated Hydraulic Conductivity </t>
        </r>
      </text>
    </comment>
    <comment ref="D2" authorId="0" shapeId="0" xr:uid="{CA933AAF-7841-6842-B5F1-D474807082CC}">
      <text>
        <r>
          <rPr>
            <b/>
            <sz val="10"/>
            <color rgb="FF000000"/>
            <rFont val="Tahoma"/>
            <family val="2"/>
          </rPr>
          <t>Marcus Gomes: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van-Genutchen n parameter</t>
        </r>
      </text>
    </comment>
    <comment ref="E2" authorId="0" shapeId="0" xr:uid="{36304D63-1DEC-B940-BE72-89B4750CF836}">
      <text>
        <r>
          <rPr>
            <b/>
            <sz val="10"/>
            <color rgb="FF000000"/>
            <rFont val="Tahoma"/>
            <family val="2"/>
          </rPr>
          <t>Marcus Gomes: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van-Genutchen alpha parameter</t>
        </r>
      </text>
    </comment>
    <comment ref="F2" authorId="0" shapeId="0" xr:uid="{4A370307-914A-AA49-9D54-4671EAEC1906}">
      <text>
        <r>
          <rPr>
            <b/>
            <sz val="10"/>
            <color rgb="FF000000"/>
            <rFont val="Tahoma"/>
            <family val="2"/>
          </rPr>
          <t>Marcus Gomes: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Saturated porosity</t>
        </r>
      </text>
    </comment>
    <comment ref="G2" authorId="0" shapeId="0" xr:uid="{C23017C0-AC39-DB49-840C-6B9B4A99E074}">
      <text>
        <r>
          <rPr>
            <b/>
            <sz val="10"/>
            <color rgb="FF000000"/>
            <rFont val="Tahoma"/>
            <family val="2"/>
          </rPr>
          <t>Marcus Gomes: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Residual porosity</t>
        </r>
      </text>
    </comment>
    <comment ref="H2" authorId="0" shapeId="0" xr:uid="{B20558BE-79CA-5B46-A77B-74E1B4795A87}">
      <text>
        <r>
          <rPr>
            <b/>
            <sz val="10"/>
            <color rgb="FF000000"/>
            <rFont val="Tahoma"/>
            <family val="2"/>
          </rPr>
          <t>Marcus Gomes: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Initial water content</t>
        </r>
      </text>
    </comment>
    <comment ref="I2" authorId="0" shapeId="0" xr:uid="{1CB820FA-F992-5D4A-88D4-D3FEC6578C11}">
      <text>
        <r>
          <rPr>
            <b/>
            <sz val="10"/>
            <color rgb="FF000000"/>
            <rFont val="Tahoma"/>
            <family val="2"/>
          </rPr>
          <t>Marcus Gomes: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Shallow aquifer drainable porosity</t>
        </r>
      </text>
    </comment>
    <comment ref="J2" authorId="0" shapeId="0" xr:uid="{E9B669D3-BBBB-104D-B90C-5E77C0C7BF37}">
      <text>
        <r>
          <rPr>
            <b/>
            <sz val="10"/>
            <color rgb="FF000000"/>
            <rFont val="Tahoma"/>
            <family val="2"/>
          </rPr>
          <t>Marcus Gomes: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Lateral saturated hydraulic conductivity for shallow aquifer</t>
        </r>
      </text>
    </comment>
    <comment ref="K2" authorId="0" shapeId="0" xr:uid="{DEB7B12F-1D51-204C-947D-DB397CDE46CE}">
      <text>
        <r>
          <rPr>
            <b/>
            <sz val="10"/>
            <color rgb="FF000000"/>
            <rFont val="Tahoma"/>
            <family val="2"/>
          </rPr>
          <t>Marcus Gomes: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Distance to bedrock</t>
        </r>
      </text>
    </comment>
  </commentList>
</comments>
</file>

<file path=xl/sharedStrings.xml><?xml version="1.0" encoding="utf-8"?>
<sst xmlns="http://schemas.openxmlformats.org/spreadsheetml/2006/main" count="25" uniqueCount="25">
  <si>
    <t>HydroPol2D - Soil Parameters</t>
  </si>
  <si>
    <t>Soil_type</t>
  </si>
  <si>
    <t>Index</t>
  </si>
  <si>
    <r>
      <t>k</t>
    </r>
    <r>
      <rPr>
        <vertAlign val="subscript"/>
        <sz val="12"/>
        <color theme="1"/>
        <rFont val="Garamond"/>
        <family val="1"/>
      </rPr>
      <t>sat</t>
    </r>
    <r>
      <rPr>
        <sz val="12"/>
        <color theme="1"/>
        <rFont val="Garamond"/>
        <family val="1"/>
      </rPr>
      <t xml:space="preserve"> (mm/h)</t>
    </r>
  </si>
  <si>
    <r>
      <rPr>
        <sz val="12"/>
        <color theme="1"/>
        <rFont val="Calibri"/>
        <family val="2"/>
      </rPr>
      <t>θ</t>
    </r>
    <r>
      <rPr>
        <vertAlign val="subscript"/>
        <sz val="12"/>
        <color theme="1"/>
        <rFont val="Garamond"/>
        <family val="1"/>
      </rPr>
      <t>sat</t>
    </r>
    <r>
      <rPr>
        <sz val="12"/>
        <color theme="1"/>
        <rFont val="Garamond"/>
        <family val="1"/>
      </rPr>
      <t xml:space="preserve"> (cm</t>
    </r>
    <r>
      <rPr>
        <vertAlign val="superscript"/>
        <sz val="12"/>
        <color theme="1"/>
        <rFont val="Garamond"/>
        <family val="1"/>
      </rPr>
      <t>3</t>
    </r>
    <r>
      <rPr>
        <sz val="12"/>
        <color theme="1"/>
        <rFont val="Garamond"/>
        <family val="1"/>
      </rPr>
      <t>.cm</t>
    </r>
    <r>
      <rPr>
        <vertAlign val="superscript"/>
        <sz val="12"/>
        <color theme="1"/>
        <rFont val="Garamond"/>
        <family val="1"/>
      </rPr>
      <t>-3</t>
    </r>
    <r>
      <rPr>
        <sz val="12"/>
        <color theme="1"/>
        <rFont val="Garamond"/>
        <family val="1"/>
      </rPr>
      <t>)</t>
    </r>
  </si>
  <si>
    <t>Sy [-]</t>
  </si>
  <si>
    <r>
      <t>k</t>
    </r>
    <r>
      <rPr>
        <vertAlign val="superscript"/>
        <sz val="12"/>
        <color theme="1"/>
        <rFont val="Garamond"/>
        <family val="1"/>
      </rPr>
      <t>g</t>
    </r>
    <r>
      <rPr>
        <vertAlign val="subscript"/>
        <sz val="12"/>
        <color theme="1"/>
        <rFont val="Garamond"/>
        <family val="1"/>
      </rPr>
      <t>sat</t>
    </r>
    <r>
      <rPr>
        <sz val="12"/>
        <color theme="1"/>
        <rFont val="Garamond"/>
        <family val="1"/>
      </rPr>
      <t xml:space="preserve"> (mm/h)</t>
    </r>
  </si>
  <si>
    <t>DTB (m)</t>
  </si>
  <si>
    <t>Clay</t>
  </si>
  <si>
    <t>Silty Clay</t>
  </si>
  <si>
    <t>Sandy Clay</t>
  </si>
  <si>
    <t>Clay Loam</t>
  </si>
  <si>
    <t>Silty Clay Loam</t>
  </si>
  <si>
    <t>Sandy Clay Loam</t>
  </si>
  <si>
    <t>Silty Loam</t>
  </si>
  <si>
    <t>Loam</t>
  </si>
  <si>
    <t>Sandy Loam</t>
  </si>
  <si>
    <t>Silt</t>
  </si>
  <si>
    <t>Loamy Sand</t>
  </si>
  <si>
    <t>Sand</t>
  </si>
  <si>
    <t>n [-]</t>
  </si>
  <si>
    <t>alpha [1/m]</t>
  </si>
  <si>
    <r>
      <rPr>
        <sz val="12"/>
        <color theme="1"/>
        <rFont val="Calibri"/>
        <family val="2"/>
      </rPr>
      <t>θr</t>
    </r>
    <r>
      <rPr>
        <sz val="12"/>
        <color theme="1"/>
        <rFont val="Garamond"/>
        <family val="1"/>
      </rPr>
      <t xml:space="preserve"> (cm</t>
    </r>
    <r>
      <rPr>
        <vertAlign val="superscript"/>
        <sz val="12"/>
        <color theme="1"/>
        <rFont val="Garamond"/>
        <family val="1"/>
      </rPr>
      <t>3</t>
    </r>
    <r>
      <rPr>
        <sz val="12"/>
        <color theme="1"/>
        <rFont val="Garamond"/>
        <family val="1"/>
      </rPr>
      <t>.cm</t>
    </r>
    <r>
      <rPr>
        <vertAlign val="superscript"/>
        <sz val="12"/>
        <color theme="1"/>
        <rFont val="Garamond"/>
        <family val="1"/>
      </rPr>
      <t>-3</t>
    </r>
    <r>
      <rPr>
        <sz val="12"/>
        <color theme="1"/>
        <rFont val="Garamond"/>
        <family val="1"/>
      </rPr>
      <t>)</t>
    </r>
  </si>
  <si>
    <r>
      <rPr>
        <sz val="12"/>
        <color theme="1"/>
        <rFont val="Calibri"/>
        <family val="2"/>
      </rPr>
      <t>θi</t>
    </r>
    <r>
      <rPr>
        <sz val="12"/>
        <color theme="1"/>
        <rFont val="Garamond"/>
        <family val="1"/>
      </rPr>
      <t xml:space="preserve"> (cm</t>
    </r>
    <r>
      <rPr>
        <vertAlign val="superscript"/>
        <sz val="12"/>
        <color theme="1"/>
        <rFont val="Garamond"/>
        <family val="1"/>
      </rPr>
      <t>3</t>
    </r>
    <r>
      <rPr>
        <sz val="12"/>
        <color theme="1"/>
        <rFont val="Garamond"/>
        <family val="1"/>
      </rPr>
      <t>.cm</t>
    </r>
    <r>
      <rPr>
        <vertAlign val="superscript"/>
        <sz val="12"/>
        <color theme="1"/>
        <rFont val="Garamond"/>
        <family val="1"/>
      </rPr>
      <t>-3</t>
    </r>
    <r>
      <rPr>
        <sz val="12"/>
        <color theme="1"/>
        <rFont val="Garamond"/>
        <family val="1"/>
      </rPr>
      <t>)</t>
    </r>
  </si>
  <si>
    <t>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</si>
</sst>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2"/>
      <color theme="1"/>
      <name val="Garamond"/>
      <family val="1"/>
    </font>
    <font>
      <b/>
      <sz val="18"/>
      <color indexed="2"/>
      <name val="Garamond"/>
      <family val="1"/>
    </font>
    <font>
      <sz val="11"/>
      <color theme="1"/>
      <name val="Garamond"/>
      <family val="1"/>
    </font>
    <font>
      <vertAlign val="subscript"/>
      <sz val="12"/>
      <color theme="1"/>
      <name val="Garamond"/>
      <family val="1"/>
    </font>
    <font>
      <sz val="12"/>
      <color theme="1"/>
      <name val="Calibri"/>
      <family val="2"/>
    </font>
    <font>
      <vertAlign val="superscript"/>
      <sz val="12"/>
      <color theme="1"/>
      <name val="Garamond"/>
      <family val="1"/>
    </font>
    <font>
      <sz val="12"/>
      <color theme="1"/>
      <name val="Garamond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theme="0" tint="-4.9989318521683403E-2"/>
      </patternFill>
    </fill>
  </fills>
  <borders count="5">
    <border>
      <left/>
      <right/>
      <top/>
      <bottom/>
      <diagonal/>
    </border>
    <border>
      <left/>
      <right style="medium">
        <color theme="0" tint="-0.2499465926084170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theme="0" tint="-0.24994659260841701"/>
      </bottom>
      <diagonal/>
    </border>
    <border>
      <left/>
      <right style="medium">
        <color theme="0" tint="-0.24994659260841701"/>
      </right>
      <top/>
      <bottom style="medium">
        <color theme="0" tint="-0.2499465926084170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1" xfId="0" applyFont="1" applyFill="1" applyBorder="1"/>
    <xf numFmtId="0" fontId="1" fillId="3" borderId="0" xfId="0" applyFont="1" applyFill="1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" fillId="3" borderId="3" xfId="0" applyFont="1" applyFill="1" applyBorder="1"/>
    <xf numFmtId="0" fontId="1" fillId="3" borderId="4" xfId="0" applyFont="1" applyFill="1" applyBorder="1"/>
    <xf numFmtId="0" fontId="7" fillId="2" borderId="2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171449</xdr:colOff>
      <xdr:row>0</xdr:row>
      <xdr:rowOff>257175</xdr:rowOff>
    </xdr:from>
    <xdr:to>
      <xdr:col>39</xdr:col>
      <xdr:colOff>392614</xdr:colOff>
      <xdr:row>31</xdr:row>
      <xdr:rowOff>45312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/>
      </xdr:blipFill>
      <xdr:spPr bwMode="auto">
        <a:xfrm>
          <a:off x="13144499" y="257174"/>
          <a:ext cx="14984915" cy="63445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6"/>
  <sheetViews>
    <sheetView tabSelected="1" zoomScale="160" workbookViewId="0">
      <selection activeCell="H11" sqref="H11"/>
    </sheetView>
  </sheetViews>
  <sheetFormatPr baseColWidth="10" defaultColWidth="8.83203125" defaultRowHeight="16" x14ac:dyDescent="0.2"/>
  <cols>
    <col min="1" max="1" width="17.5" style="1" customWidth="1"/>
    <col min="2" max="2" width="12.5" style="1" customWidth="1"/>
    <col min="3" max="3" width="21.6640625" style="1" customWidth="1"/>
    <col min="4" max="5" width="8.83203125" style="1"/>
    <col min="6" max="6" width="16.33203125" style="1" customWidth="1"/>
    <col min="7" max="12" width="19.1640625" style="1" customWidth="1"/>
    <col min="13" max="14" width="6.5" style="1" customWidth="1"/>
    <col min="15" max="16384" width="8.83203125" style="1"/>
  </cols>
  <sheetData>
    <row r="1" spans="1:14" ht="25" thickBot="1" x14ac:dyDescent="0.35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  <c r="N1" s="2"/>
    </row>
    <row r="2" spans="1:14" ht="21" thickBot="1" x14ac:dyDescent="0.3">
      <c r="A2" s="3" t="s">
        <v>1</v>
      </c>
      <c r="B2" s="3" t="s">
        <v>2</v>
      </c>
      <c r="C2" s="3" t="s">
        <v>3</v>
      </c>
      <c r="D2" s="3" t="s">
        <v>20</v>
      </c>
      <c r="E2" s="3" t="s">
        <v>21</v>
      </c>
      <c r="F2" s="3" t="s">
        <v>4</v>
      </c>
      <c r="G2" s="10" t="s">
        <v>22</v>
      </c>
      <c r="H2" s="10" t="s">
        <v>23</v>
      </c>
      <c r="I2" s="3" t="s">
        <v>5</v>
      </c>
      <c r="J2" s="3" t="s">
        <v>6</v>
      </c>
      <c r="K2" s="3" t="s">
        <v>7</v>
      </c>
      <c r="M2" s="4"/>
      <c r="N2" s="5"/>
    </row>
    <row r="3" spans="1:14" x14ac:dyDescent="0.2">
      <c r="A3" s="6" t="s">
        <v>8</v>
      </c>
      <c r="B3" s="7">
        <v>1</v>
      </c>
      <c r="C3" s="7">
        <v>0.3</v>
      </c>
      <c r="D3" s="7">
        <v>1.0900000000000001</v>
      </c>
      <c r="E3" s="7">
        <v>0.8</v>
      </c>
      <c r="F3" s="7">
        <v>0.38500000000000001</v>
      </c>
      <c r="G3" s="7">
        <v>6.8000000000000005E-2</v>
      </c>
      <c r="H3" s="7">
        <f>(F3-G3)*0.1+G3</f>
        <v>9.9700000000000011E-2</v>
      </c>
      <c r="I3" s="7">
        <v>0.03</v>
      </c>
      <c r="J3" s="7">
        <v>6</v>
      </c>
      <c r="K3" s="6">
        <v>1</v>
      </c>
      <c r="M3" s="4"/>
      <c r="N3" s="5"/>
    </row>
    <row r="4" spans="1:14" x14ac:dyDescent="0.2">
      <c r="A4" s="6" t="s">
        <v>9</v>
      </c>
      <c r="B4" s="7">
        <v>2</v>
      </c>
      <c r="C4" s="7">
        <v>0.5</v>
      </c>
      <c r="D4" s="7">
        <v>1.23</v>
      </c>
      <c r="E4" s="7">
        <v>1</v>
      </c>
      <c r="F4" s="7">
        <v>0.42299999999999999</v>
      </c>
      <c r="G4" s="7">
        <v>8.8999999999999996E-2</v>
      </c>
      <c r="H4" s="7">
        <f t="shared" ref="H4:H15" si="0">(F4-G4)*0.1+G4</f>
        <v>0.12239999999999999</v>
      </c>
      <c r="I4" s="7">
        <v>0.04</v>
      </c>
      <c r="J4" s="7">
        <v>10</v>
      </c>
      <c r="K4" s="6">
        <v>1</v>
      </c>
      <c r="M4" s="4"/>
      <c r="N4" s="5"/>
    </row>
    <row r="5" spans="1:14" x14ac:dyDescent="0.2">
      <c r="A5" s="6" t="s">
        <v>10</v>
      </c>
      <c r="B5" s="7">
        <v>3</v>
      </c>
      <c r="C5" s="7">
        <v>0.6</v>
      </c>
      <c r="D5" s="7">
        <v>1.31</v>
      </c>
      <c r="E5" s="7">
        <v>1.5</v>
      </c>
      <c r="F5" s="7">
        <v>0.32100000000000001</v>
      </c>
      <c r="G5" s="7">
        <v>7.4999999999999997E-2</v>
      </c>
      <c r="H5" s="7">
        <f t="shared" si="0"/>
        <v>9.9599999999999994E-2</v>
      </c>
      <c r="I5" s="7">
        <v>0.06</v>
      </c>
      <c r="J5" s="7">
        <v>12</v>
      </c>
      <c r="K5" s="6">
        <v>1</v>
      </c>
      <c r="M5" s="4"/>
      <c r="N5" s="5"/>
    </row>
    <row r="6" spans="1:14" x14ac:dyDescent="0.2">
      <c r="A6" s="6" t="s">
        <v>11</v>
      </c>
      <c r="B6" s="7">
        <v>4</v>
      </c>
      <c r="C6" s="7">
        <v>1</v>
      </c>
      <c r="D6" s="7">
        <v>1.31</v>
      </c>
      <c r="E6" s="7">
        <v>1.9</v>
      </c>
      <c r="F6" s="7">
        <v>0.309</v>
      </c>
      <c r="G6" s="7">
        <v>9.5000000000000001E-2</v>
      </c>
      <c r="H6" s="7">
        <f t="shared" si="0"/>
        <v>0.1164</v>
      </c>
      <c r="I6" s="7">
        <v>0.08</v>
      </c>
      <c r="J6" s="7">
        <v>20</v>
      </c>
      <c r="K6" s="6">
        <v>1</v>
      </c>
      <c r="M6" s="4"/>
      <c r="N6" s="5"/>
    </row>
    <row r="7" spans="1:14" x14ac:dyDescent="0.2">
      <c r="A7" s="6" t="s">
        <v>12</v>
      </c>
      <c r="B7" s="7">
        <v>5</v>
      </c>
      <c r="C7" s="7">
        <v>1</v>
      </c>
      <c r="D7" s="7">
        <v>1.23</v>
      </c>
      <c r="E7" s="7">
        <v>1.5</v>
      </c>
      <c r="F7" s="7">
        <v>0.432</v>
      </c>
      <c r="G7" s="7">
        <v>8.8999999999999996E-2</v>
      </c>
      <c r="H7" s="7">
        <f t="shared" si="0"/>
        <v>0.12329999999999999</v>
      </c>
      <c r="I7" s="7">
        <v>0.09</v>
      </c>
      <c r="J7" s="7">
        <v>20</v>
      </c>
      <c r="K7" s="6">
        <v>1</v>
      </c>
      <c r="M7" s="4"/>
      <c r="N7" s="5"/>
    </row>
    <row r="8" spans="1:14" x14ac:dyDescent="0.2">
      <c r="A8" s="6" t="s">
        <v>13</v>
      </c>
      <c r="B8" s="7">
        <v>6</v>
      </c>
      <c r="C8" s="7">
        <v>1.5</v>
      </c>
      <c r="D8" s="7">
        <v>1.48</v>
      </c>
      <c r="E8" s="7">
        <v>3</v>
      </c>
      <c r="F8" s="7">
        <v>0.33</v>
      </c>
      <c r="G8" s="7">
        <v>6.5000000000000002E-2</v>
      </c>
      <c r="H8" s="7">
        <f t="shared" si="0"/>
        <v>9.1499999999999998E-2</v>
      </c>
      <c r="I8" s="7">
        <v>0.11</v>
      </c>
      <c r="J8" s="7">
        <v>30</v>
      </c>
      <c r="K8" s="6">
        <v>1</v>
      </c>
      <c r="M8" s="4"/>
      <c r="N8" s="5"/>
    </row>
    <row r="9" spans="1:14" x14ac:dyDescent="0.2">
      <c r="A9" s="6" t="s">
        <v>14</v>
      </c>
      <c r="B9" s="7">
        <v>7</v>
      </c>
      <c r="C9" s="7">
        <v>7.6</v>
      </c>
      <c r="D9" s="7">
        <v>1.41</v>
      </c>
      <c r="E9" s="7">
        <v>4.5</v>
      </c>
      <c r="F9" s="7">
        <v>0.434</v>
      </c>
      <c r="G9" s="7">
        <v>6.7000000000000004E-2</v>
      </c>
      <c r="H9" s="7">
        <f t="shared" si="0"/>
        <v>0.10370000000000001</v>
      </c>
      <c r="I9" s="7">
        <v>0.14000000000000001</v>
      </c>
      <c r="J9" s="7">
        <v>152</v>
      </c>
      <c r="K9" s="6">
        <v>1</v>
      </c>
      <c r="M9" s="4"/>
      <c r="N9" s="5"/>
    </row>
    <row r="10" spans="1:14" x14ac:dyDescent="0.2">
      <c r="A10" s="6" t="s">
        <v>15</v>
      </c>
      <c r="B10" s="7">
        <v>8</v>
      </c>
      <c r="C10" s="7">
        <v>3.4</v>
      </c>
      <c r="D10" s="7">
        <v>1.56</v>
      </c>
      <c r="E10" s="7">
        <v>3.6</v>
      </c>
      <c r="F10" s="7">
        <v>0.48599999999999999</v>
      </c>
      <c r="G10" s="7">
        <v>7.8E-2</v>
      </c>
      <c r="H10" s="7">
        <f t="shared" si="0"/>
        <v>0.1188</v>
      </c>
      <c r="I10" s="7">
        <v>0.18</v>
      </c>
      <c r="J10" s="7">
        <v>68</v>
      </c>
      <c r="K10" s="6">
        <v>1</v>
      </c>
      <c r="M10" s="4"/>
      <c r="N10" s="5"/>
    </row>
    <row r="11" spans="1:14" x14ac:dyDescent="0.2">
      <c r="A11" s="6" t="s">
        <v>16</v>
      </c>
      <c r="B11" s="7">
        <v>9</v>
      </c>
      <c r="C11" s="7">
        <v>10.9</v>
      </c>
      <c r="D11" s="7">
        <v>1.89</v>
      </c>
      <c r="E11" s="7">
        <v>7.5</v>
      </c>
      <c r="F11" s="7">
        <v>0.41199999999999998</v>
      </c>
      <c r="G11" s="7">
        <v>6.5000000000000002E-2</v>
      </c>
      <c r="H11" s="7">
        <f t="shared" si="0"/>
        <v>9.9700000000000011E-2</v>
      </c>
      <c r="I11" s="7">
        <v>0.22</v>
      </c>
      <c r="J11" s="7">
        <v>218</v>
      </c>
      <c r="K11" s="6">
        <v>1</v>
      </c>
      <c r="M11" s="4"/>
      <c r="N11" s="5"/>
    </row>
    <row r="12" spans="1:14" x14ac:dyDescent="0.2">
      <c r="A12" s="6" t="s">
        <v>17</v>
      </c>
      <c r="B12" s="7">
        <v>10</v>
      </c>
      <c r="C12" s="7">
        <v>3.4</v>
      </c>
      <c r="D12" s="7">
        <v>1.37</v>
      </c>
      <c r="E12" s="7">
        <v>4</v>
      </c>
      <c r="F12" s="7">
        <v>0.48599999999999999</v>
      </c>
      <c r="G12" s="7">
        <v>6.7000000000000004E-2</v>
      </c>
      <c r="H12" s="7">
        <f t="shared" si="0"/>
        <v>0.1089</v>
      </c>
      <c r="I12" s="7">
        <v>0.12</v>
      </c>
      <c r="J12" s="7">
        <v>68</v>
      </c>
      <c r="K12" s="6">
        <v>1</v>
      </c>
      <c r="M12" s="4"/>
      <c r="N12" s="5"/>
    </row>
    <row r="13" spans="1:14" x14ac:dyDescent="0.2">
      <c r="A13" s="6" t="s">
        <v>18</v>
      </c>
      <c r="B13" s="7">
        <v>11</v>
      </c>
      <c r="C13" s="7">
        <v>29.9</v>
      </c>
      <c r="D13" s="7">
        <v>2.2799999999999998</v>
      </c>
      <c r="E13" s="7">
        <v>14.5</v>
      </c>
      <c r="F13" s="7">
        <v>0.40100000000000002</v>
      </c>
      <c r="G13" s="7">
        <v>5.7000000000000002E-2</v>
      </c>
      <c r="H13" s="7">
        <f t="shared" si="0"/>
        <v>9.1400000000000009E-2</v>
      </c>
      <c r="I13" s="7">
        <v>0.25</v>
      </c>
      <c r="J13" s="7">
        <v>598</v>
      </c>
      <c r="K13" s="6">
        <v>1</v>
      </c>
      <c r="M13" s="4"/>
      <c r="N13" s="5"/>
    </row>
    <row r="14" spans="1:14" x14ac:dyDescent="0.2">
      <c r="A14" s="6" t="s">
        <v>19</v>
      </c>
      <c r="B14" s="7">
        <v>12</v>
      </c>
      <c r="C14" s="7">
        <v>117.8</v>
      </c>
      <c r="D14" s="7">
        <v>2.68</v>
      </c>
      <c r="E14" s="7">
        <v>14.5</v>
      </c>
      <c r="F14" s="7">
        <v>0.41699999999999998</v>
      </c>
      <c r="G14" s="7">
        <v>4.4999999999999998E-2</v>
      </c>
      <c r="H14" s="7">
        <f t="shared" si="0"/>
        <v>8.2199999999999995E-2</v>
      </c>
      <c r="I14" s="7">
        <v>0.3</v>
      </c>
      <c r="J14" s="7">
        <v>2356</v>
      </c>
      <c r="K14" s="6">
        <v>1</v>
      </c>
      <c r="M14" s="4"/>
      <c r="N14" s="5"/>
    </row>
    <row r="15" spans="1:14" x14ac:dyDescent="0.2">
      <c r="A15" s="6" t="s">
        <v>24</v>
      </c>
      <c r="B15" s="6">
        <v>0</v>
      </c>
      <c r="C15" s="7">
        <v>0.3</v>
      </c>
      <c r="D15" s="7">
        <v>1.0900000000000001</v>
      </c>
      <c r="E15" s="7">
        <v>0.8</v>
      </c>
      <c r="F15" s="7">
        <v>0.38500000000000001</v>
      </c>
      <c r="G15" s="7">
        <v>6.8000000000000005E-2</v>
      </c>
      <c r="H15" s="7">
        <f t="shared" si="0"/>
        <v>9.9700000000000011E-2</v>
      </c>
      <c r="I15" s="7">
        <v>0.03</v>
      </c>
      <c r="J15" s="7">
        <v>6</v>
      </c>
      <c r="K15" s="6">
        <v>1</v>
      </c>
      <c r="L15" s="6"/>
      <c r="M15" s="4"/>
      <c r="N15" s="5"/>
    </row>
    <row r="16" spans="1:14" x14ac:dyDescent="0.2">
      <c r="A16" s="6"/>
      <c r="B16" s="6"/>
      <c r="C16" s="7"/>
      <c r="D16" s="7"/>
      <c r="E16" s="7"/>
      <c r="F16" s="7"/>
      <c r="G16" s="7"/>
      <c r="H16" s="7"/>
      <c r="I16" s="7"/>
      <c r="J16" s="7"/>
      <c r="K16" s="7"/>
      <c r="L16" s="6"/>
      <c r="M16" s="4"/>
      <c r="N16" s="5"/>
    </row>
    <row r="17" spans="1:14" x14ac:dyDescent="0.2">
      <c r="A17" s="6"/>
      <c r="B17" s="6"/>
      <c r="C17" s="7"/>
      <c r="D17" s="7"/>
      <c r="E17" s="7"/>
      <c r="F17" s="7"/>
      <c r="G17" s="7"/>
      <c r="H17" s="7"/>
      <c r="I17" s="7"/>
      <c r="J17" s="7"/>
      <c r="K17" s="7"/>
      <c r="L17" s="6"/>
      <c r="M17" s="4"/>
      <c r="N17" s="5"/>
    </row>
    <row r="18" spans="1:14" x14ac:dyDescent="0.2">
      <c r="A18" s="6"/>
      <c r="B18" s="6"/>
      <c r="C18" s="7"/>
      <c r="D18" s="7"/>
      <c r="E18" s="7"/>
      <c r="F18" s="7"/>
      <c r="G18" s="7"/>
      <c r="H18" s="7"/>
      <c r="I18" s="7"/>
      <c r="J18" s="7"/>
      <c r="K18" s="7"/>
      <c r="L18" s="6"/>
      <c r="M18" s="4"/>
      <c r="N18" s="5"/>
    </row>
    <row r="19" spans="1:14" x14ac:dyDescent="0.2">
      <c r="A19" s="6"/>
      <c r="B19" s="6"/>
      <c r="C19" s="7"/>
      <c r="D19" s="7"/>
      <c r="E19" s="7"/>
      <c r="F19" s="7"/>
      <c r="G19" s="7"/>
      <c r="H19" s="7"/>
      <c r="I19" s="7"/>
      <c r="J19" s="7"/>
      <c r="K19" s="7"/>
      <c r="L19" s="6"/>
      <c r="M19" s="4"/>
      <c r="N19" s="5"/>
    </row>
    <row r="20" spans="1:14" x14ac:dyDescent="0.2">
      <c r="A20" s="6"/>
      <c r="B20" s="6"/>
      <c r="C20" s="7"/>
      <c r="D20" s="7"/>
      <c r="E20" s="7"/>
      <c r="F20" s="7"/>
      <c r="G20" s="7"/>
      <c r="H20" s="7"/>
      <c r="I20" s="7"/>
      <c r="J20" s="7"/>
      <c r="K20" s="7"/>
      <c r="L20" s="6"/>
      <c r="M20" s="4"/>
      <c r="N20" s="5"/>
    </row>
    <row r="21" spans="1:14" x14ac:dyDescent="0.2">
      <c r="A21" s="6"/>
      <c r="B21" s="6"/>
      <c r="C21" s="7"/>
      <c r="D21" s="7"/>
      <c r="E21" s="7"/>
      <c r="F21" s="7"/>
      <c r="G21" s="7"/>
      <c r="H21" s="7"/>
      <c r="I21" s="7"/>
      <c r="J21" s="7"/>
      <c r="K21" s="7"/>
      <c r="L21" s="6"/>
      <c r="M21" s="4"/>
      <c r="N21" s="5"/>
    </row>
    <row r="22" spans="1:14" x14ac:dyDescent="0.2">
      <c r="A22" s="6"/>
      <c r="B22" s="6"/>
      <c r="C22" s="7"/>
      <c r="D22" s="7"/>
      <c r="E22" s="7"/>
      <c r="F22" s="7"/>
      <c r="G22" s="7"/>
      <c r="H22" s="7"/>
      <c r="I22" s="7"/>
      <c r="J22" s="7"/>
      <c r="K22" s="7"/>
      <c r="L22" s="6"/>
      <c r="M22" s="4"/>
      <c r="N22" s="5"/>
    </row>
    <row r="23" spans="1:14" x14ac:dyDescent="0.2">
      <c r="A23" s="6"/>
      <c r="B23" s="6"/>
      <c r="C23" s="7"/>
      <c r="D23" s="7"/>
      <c r="E23" s="7"/>
      <c r="F23" s="7"/>
      <c r="G23" s="7"/>
      <c r="H23" s="7"/>
      <c r="I23" s="7"/>
      <c r="J23" s="7"/>
      <c r="K23" s="7"/>
      <c r="L23" s="6"/>
      <c r="M23" s="4"/>
      <c r="N23" s="5"/>
    </row>
    <row r="24" spans="1:14" x14ac:dyDescent="0.2">
      <c r="M24" s="4"/>
      <c r="N24" s="5"/>
    </row>
    <row r="25" spans="1:14" x14ac:dyDescent="0.2">
      <c r="M25" s="4"/>
      <c r="N25" s="5"/>
    </row>
    <row r="26" spans="1:14" x14ac:dyDescent="0.2">
      <c r="M26" s="4"/>
      <c r="N26" s="5"/>
    </row>
    <row r="27" spans="1:14" x14ac:dyDescent="0.2">
      <c r="M27" s="4"/>
      <c r="N27" s="5"/>
    </row>
    <row r="28" spans="1:14" x14ac:dyDescent="0.2">
      <c r="M28" s="4"/>
      <c r="N28" s="5"/>
    </row>
    <row r="29" spans="1:14" x14ac:dyDescent="0.2">
      <c r="M29" s="4"/>
      <c r="N29" s="5"/>
    </row>
    <row r="30" spans="1:14" x14ac:dyDescent="0.2">
      <c r="M30" s="4"/>
      <c r="N30" s="5"/>
    </row>
    <row r="31" spans="1:14" x14ac:dyDescent="0.2">
      <c r="M31" s="4"/>
      <c r="N31" s="5"/>
    </row>
    <row r="32" spans="1:14" x14ac:dyDescent="0.2">
      <c r="M32" s="4"/>
      <c r="N32" s="5"/>
    </row>
    <row r="33" spans="1:14" x14ac:dyDescent="0.2">
      <c r="M33" s="4"/>
      <c r="N33" s="5"/>
    </row>
    <row r="34" spans="1:14" x14ac:dyDescent="0.2">
      <c r="M34" s="4"/>
      <c r="N34" s="5"/>
    </row>
    <row r="35" spans="1:14" x14ac:dyDescent="0.2">
      <c r="M35" s="4"/>
      <c r="N35" s="5"/>
    </row>
    <row r="36" spans="1:14" x14ac:dyDescent="0.2">
      <c r="M36" s="4"/>
      <c r="N36" s="5"/>
    </row>
    <row r="37" spans="1:14" x14ac:dyDescent="0.2">
      <c r="M37" s="4"/>
      <c r="N37" s="5"/>
    </row>
    <row r="38" spans="1:14" x14ac:dyDescent="0.2">
      <c r="M38" s="4"/>
      <c r="N38" s="5"/>
    </row>
    <row r="39" spans="1:14" x14ac:dyDescent="0.2">
      <c r="M39" s="4"/>
      <c r="N39" s="5"/>
    </row>
    <row r="40" spans="1:14" x14ac:dyDescent="0.2">
      <c r="M40" s="4"/>
      <c r="N40" s="5"/>
    </row>
    <row r="41" spans="1:14" x14ac:dyDescent="0.2">
      <c r="M41" s="4"/>
      <c r="N41" s="5"/>
    </row>
    <row r="42" spans="1:14" x14ac:dyDescent="0.2">
      <c r="M42" s="4"/>
      <c r="N42" s="5"/>
    </row>
    <row r="43" spans="1:14" x14ac:dyDescent="0.2">
      <c r="M43" s="4"/>
      <c r="N43" s="5"/>
    </row>
    <row r="44" spans="1:14" x14ac:dyDescent="0.2">
      <c r="M44" s="4"/>
      <c r="N44" s="5"/>
    </row>
    <row r="45" spans="1:14" x14ac:dyDescent="0.2">
      <c r="M45" s="4"/>
      <c r="N45" s="5"/>
    </row>
    <row r="46" spans="1:14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9"/>
      <c r="N46" s="5"/>
    </row>
  </sheetData>
  <mergeCells count="1">
    <mergeCell ref="A1:M1"/>
  </mergeCells>
  <pageMargins left="0.7" right="0.7" top="0.75" bottom="0.75" header="0.3" footer="0.3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SOIL_parameters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Marcus Nobrega Gomes Jr</cp:lastModifiedBy>
  <cp:revision>3</cp:revision>
  <dcterms:created xsi:type="dcterms:W3CDTF">2022-11-27T17:32:15Z</dcterms:created>
  <dcterms:modified xsi:type="dcterms:W3CDTF">2026-02-27T18:34:55Z</dcterms:modified>
</cp:coreProperties>
</file>